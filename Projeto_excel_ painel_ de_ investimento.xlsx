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a9965a1d12b599/Documentos/Dio/"/>
    </mc:Choice>
  </mc:AlternateContent>
  <xr:revisionPtr revIDLastSave="457" documentId="8_{CD1E996E-3BA8-4495-BF1B-B52B014A62F5}" xr6:coauthVersionLast="47" xr6:coauthVersionMax="47" xr10:uidLastSave="{7BC58EF1-B609-4F1F-A702-643C33936937}"/>
  <bookViews>
    <workbookView xWindow="-108" yWindow="-108" windowWidth="23256" windowHeight="12456" xr2:uid="{E41CAF48-0349-478C-A8DA-1C20660375F2}"/>
  </bookViews>
  <sheets>
    <sheet name="Controle de Investimentos" sheetId="1" r:id="rId1"/>
    <sheet name="Tabela de apoio" sheetId="2" r:id="rId2"/>
    <sheet name="Descrição" sheetId="3" r:id="rId3"/>
  </sheets>
  <definedNames>
    <definedName name="aporte">'Controle de Investimentos'!$D$15</definedName>
    <definedName name="qtd_anos">'Controle de Investimentos'!$D$16</definedName>
    <definedName name="rendimento_carteira">'Controle de Investimentos'!$D$11</definedName>
    <definedName name="salario">'Controle de Investimentos'!$D$10</definedName>
    <definedName name="taxa_mensal">'Controle de Investimentos'!$D$17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B23" i="2"/>
  <c r="B24" i="2"/>
  <c r="B25" i="2"/>
  <c r="B26" i="2"/>
  <c r="B27" i="2"/>
  <c r="B22" i="2"/>
  <c r="B16" i="2"/>
  <c r="B17" i="2"/>
  <c r="B18" i="2"/>
  <c r="B19" i="2"/>
  <c r="B20" i="2"/>
  <c r="B15" i="2"/>
  <c r="B9" i="2"/>
  <c r="B10" i="2"/>
  <c r="B11" i="2"/>
  <c r="B12" i="2"/>
  <c r="B13" i="2"/>
  <c r="B8" i="2"/>
  <c r="C37" i="1" s="1"/>
  <c r="D31" i="1"/>
  <c r="D18" i="1"/>
  <c r="D19" i="1" s="1"/>
  <c r="C22" i="1"/>
  <c r="C23" i="1"/>
  <c r="D23" i="1" s="1"/>
  <c r="D12" i="1"/>
  <c r="C24" i="1"/>
  <c r="D24" i="1" s="1"/>
  <c r="C25" i="1"/>
  <c r="D25" i="1" s="1"/>
  <c r="C26" i="1"/>
  <c r="D26" i="1" s="1"/>
  <c r="D34" i="1" l="1"/>
  <c r="D37" i="1"/>
  <c r="C35" i="1"/>
  <c r="D35" i="1" s="1"/>
  <c r="C36" i="1"/>
  <c r="D36" i="1" s="1"/>
  <c r="C38" i="1"/>
  <c r="D38" i="1" s="1"/>
  <c r="C39" i="1"/>
  <c r="D39" i="1" s="1"/>
  <c r="D22" i="1"/>
  <c r="D40" i="1" l="1"/>
</calcChain>
</file>

<file path=xl/sharedStrings.xml><?xml version="1.0" encoding="utf-8"?>
<sst xmlns="http://schemas.openxmlformats.org/spreadsheetml/2006/main" count="89" uniqueCount="52">
  <si>
    <t>Quanto investir por mês?</t>
  </si>
  <si>
    <t>Por quantos anos?</t>
  </si>
  <si>
    <t>Taxa de rendimento mensal?</t>
  </si>
  <si>
    <t>Patrimônio acumulado?</t>
  </si>
  <si>
    <t>Dividentos mensais?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</si>
  <si>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</si>
  <si>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</si>
  <si>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</si>
  <si>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</si>
  <si>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</si>
  <si>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</si>
  <si>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Salário</t>
  </si>
  <si>
    <t>Rendimento carteira</t>
  </si>
  <si>
    <t>Perfil</t>
  </si>
  <si>
    <t>Tipo de FII</t>
  </si>
  <si>
    <t>Valores</t>
  </si>
  <si>
    <t>Percentual sugerido</t>
  </si>
  <si>
    <t>PERFIL</t>
  </si>
  <si>
    <t>CONSERVADOR</t>
  </si>
  <si>
    <t>CONFIGURAÇÕES</t>
  </si>
  <si>
    <t>INVESTIMENTO MENSAL</t>
  </si>
  <si>
    <t>CENÁRIOS</t>
  </si>
  <si>
    <t>PAPEL</t>
  </si>
  <si>
    <t>TIJOLO</t>
  </si>
  <si>
    <t>HÍBRIDOS</t>
  </si>
  <si>
    <t>FOFs</t>
  </si>
  <si>
    <t>DESENVOLVIMENTO</t>
  </si>
  <si>
    <t>HOTELARIAS</t>
  </si>
  <si>
    <t>Valor a ser investido por mês</t>
  </si>
  <si>
    <t>MODERADO</t>
  </si>
  <si>
    <t>AGRESSIVO</t>
  </si>
  <si>
    <t>Descrição</t>
  </si>
  <si>
    <t>Exemplos de Ativos</t>
  </si>
  <si>
    <t>FII de Tijolo</t>
  </si>
  <si>
    <t>Investem diretamente em imóveis físicos com o objetivo de gerar renda por meio de aluguel.</t>
  </si>
  <si>
    <t>Shoppings, galpões logísticos, escritórios, hospitais</t>
  </si>
  <si>
    <t>FII de Papel</t>
  </si>
  <si>
    <t>Investem em títulos e valores mobiliários ligados ao setor imobiliário.</t>
  </si>
  <si>
    <t>CRIs (Certificados de Recebíveis Imobiliários), LCIs, cotas de outros FIIs</t>
  </si>
  <si>
    <t>FII Híbrido</t>
  </si>
  <si>
    <t>Combinam ativos de tijolo e de papel, buscando diversificação e flexibilidade.</t>
  </si>
  <si>
    <t>Combinação de imóveis físicos e CRIs</t>
  </si>
  <si>
    <t>FII de Desenvolvimento</t>
  </si>
  <si>
    <t>Focados na construção ou incorporação de imóveis para posterior venda ou locação.</t>
  </si>
  <si>
    <t>Loteamentos, prédios residenciais e comerciais em desenvolvimento</t>
  </si>
  <si>
    <t>FII de Fundos (FOF)</t>
  </si>
  <si>
    <t>Investem em cotas de outros FIIs, funcionando como um “fundo de fundos”.</t>
  </si>
  <si>
    <t>Carteiras diversificadas de FIIs</t>
  </si>
  <si>
    <t>Chave composta</t>
  </si>
  <si>
    <t>TABELA DESCRITIVA</t>
  </si>
  <si>
    <t>TABELA DE APOIO</t>
  </si>
  <si>
    <t>Sugestão de investimento (30% do salário)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</si>
</sst>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b/>
      <sz val="12"/>
      <color theme="0"/>
      <name val="Montserrat"/>
    </font>
    <font>
      <b/>
      <sz val="18"/>
      <color theme="0"/>
      <name val="Montserrat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hair">
        <color theme="0"/>
      </right>
      <top/>
      <bottom style="hair">
        <color theme="0"/>
      </bottom>
      <diagonal/>
    </border>
    <border>
      <left style="hair">
        <color theme="0"/>
      </left>
      <right style="medium">
        <color indexed="64"/>
      </right>
      <top/>
      <bottom style="hair">
        <color theme="0"/>
      </bottom>
      <diagonal/>
    </border>
    <border>
      <left style="medium">
        <color indexed="64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medium">
        <color indexed="64"/>
      </left>
      <right style="hair">
        <color theme="0"/>
      </right>
      <top style="hair">
        <color theme="0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164" fontId="5" fillId="3" borderId="1" xfId="0" applyNumberFormat="1" applyFont="1" applyFill="1" applyBorder="1" applyAlignment="1">
      <alignment horizontal="right"/>
    </xf>
    <xf numFmtId="164" fontId="5" fillId="3" borderId="2" xfId="0" applyNumberFormat="1" applyFont="1" applyFill="1" applyBorder="1" applyAlignment="1">
      <alignment horizontal="right"/>
    </xf>
    <xf numFmtId="9" fontId="0" fillId="0" borderId="0" xfId="0" applyNumberFormat="1"/>
    <xf numFmtId="0" fontId="5" fillId="6" borderId="0" xfId="0" applyFont="1" applyFill="1"/>
    <xf numFmtId="0" fontId="2" fillId="6" borderId="0" xfId="0" applyFont="1" applyFill="1"/>
    <xf numFmtId="164" fontId="2" fillId="6" borderId="0" xfId="0" applyNumberFormat="1" applyFont="1" applyFill="1"/>
    <xf numFmtId="0" fontId="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164" fontId="0" fillId="6" borderId="0" xfId="0" applyNumberForma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64" fontId="0" fillId="5" borderId="0" xfId="0" applyNumberFormat="1" applyFill="1"/>
    <xf numFmtId="0" fontId="0" fillId="7" borderId="0" xfId="0" applyFill="1"/>
    <xf numFmtId="0" fontId="0" fillId="7" borderId="0" xfId="0" applyFill="1" applyAlignment="1">
      <alignment horizontal="center"/>
    </xf>
    <xf numFmtId="9" fontId="0" fillId="7" borderId="0" xfId="0" applyNumberFormat="1" applyFill="1"/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4" fillId="3" borderId="0" xfId="0" applyFont="1" applyFill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164" fontId="0" fillId="0" borderId="8" xfId="0" applyNumberFormat="1" applyBorder="1" applyAlignment="1">
      <alignment horizontal="right"/>
    </xf>
    <xf numFmtId="10" fontId="0" fillId="0" borderId="11" xfId="0" applyNumberFormat="1" applyBorder="1" applyAlignment="1">
      <alignment horizontal="right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64" fontId="5" fillId="0" borderId="8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1" fontId="5" fillId="0" borderId="11" xfId="0" applyNumberFormat="1" applyFont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4" fillId="3" borderId="15" xfId="0" applyFont="1" applyFill="1" applyBorder="1"/>
    <xf numFmtId="164" fontId="2" fillId="3" borderId="16" xfId="0" applyNumberFormat="1" applyFont="1" applyFill="1" applyBorder="1"/>
    <xf numFmtId="0" fontId="4" fillId="3" borderId="17" xfId="0" applyFont="1" applyFill="1" applyBorder="1"/>
    <xf numFmtId="0" fontId="4" fillId="3" borderId="18" xfId="0" applyFont="1" applyFill="1" applyBorder="1"/>
    <xf numFmtId="164" fontId="5" fillId="3" borderId="19" xfId="0" applyNumberFormat="1" applyFont="1" applyFill="1" applyBorder="1" applyAlignment="1">
      <alignment horizontal="right"/>
    </xf>
    <xf numFmtId="164" fontId="2" fillId="3" borderId="20" xfId="0" applyNumberFormat="1" applyFont="1" applyFill="1" applyBorder="1"/>
    <xf numFmtId="164" fontId="0" fillId="5" borderId="14" xfId="0" applyNumberFormat="1" applyFill="1" applyBorder="1" applyAlignment="1">
      <alignment horizontal="righ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10" fontId="5" fillId="0" borderId="23" xfId="1" applyNumberFormat="1" applyFont="1" applyBorder="1" applyAlignment="1">
      <alignment horizontal="center"/>
    </xf>
    <xf numFmtId="0" fontId="4" fillId="8" borderId="24" xfId="0" applyFont="1" applyFill="1" applyBorder="1" applyAlignment="1">
      <alignment horizontal="left"/>
    </xf>
    <xf numFmtId="0" fontId="4" fillId="8" borderId="25" xfId="0" applyFont="1" applyFill="1" applyBorder="1" applyAlignment="1">
      <alignment horizontal="left"/>
    </xf>
    <xf numFmtId="8" fontId="5" fillId="8" borderId="26" xfId="0" applyNumberFormat="1" applyFont="1" applyFill="1" applyBorder="1" applyAlignment="1">
      <alignment horizontal="center"/>
    </xf>
    <xf numFmtId="0" fontId="4" fillId="8" borderId="27" xfId="0" applyFont="1" applyFill="1" applyBorder="1" applyAlignment="1">
      <alignment horizontal="left"/>
    </xf>
    <xf numFmtId="0" fontId="4" fillId="8" borderId="28" xfId="0" applyFont="1" applyFill="1" applyBorder="1" applyAlignment="1">
      <alignment horizontal="left"/>
    </xf>
    <xf numFmtId="8" fontId="5" fillId="8" borderId="29" xfId="0" applyNumberFormat="1" applyFont="1" applyFill="1" applyBorder="1" applyAlignment="1">
      <alignment horizontal="center"/>
    </xf>
    <xf numFmtId="0" fontId="5" fillId="4" borderId="0" xfId="0" applyFont="1" applyFill="1"/>
    <xf numFmtId="0" fontId="2" fillId="4" borderId="0" xfId="0" applyFont="1" applyFill="1"/>
  </cellXfs>
  <cellStyles count="2">
    <cellStyle name="Normal" xfId="0" builtinId="0"/>
    <cellStyle name="Porcentagem" xfId="1" builtinId="5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327660</xdr:colOff>
      <xdr:row>0</xdr:row>
      <xdr:rowOff>0</xdr:rowOff>
    </xdr:from>
    <xdr:to>
      <xdr:col>4</xdr:col>
      <xdr:colOff>53340</xdr:colOff>
      <xdr:row>7</xdr:row>
      <xdr:rowOff>98614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BCB2306-EFB4-5D2D-E6C5-C97674B495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9" t="22310" r="1491" b="23486"/>
        <a:stretch>
          <a:fillRect/>
        </a:stretch>
      </xdr:blipFill>
      <xdr:spPr>
        <a:xfrm>
          <a:off x="327660" y="0"/>
          <a:ext cx="5273040" cy="222459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8F226-2490-4889-9A94-4CF33D1A5194}" name="Tabela1" displayName="Tabela1" ref="A3:C8" totalsRowShown="0" headerRowDxfId="0">
  <autoFilter ref="A3:C8" xr:uid="{0758F226-2490-4889-9A94-4CF33D1A5194}"/>
  <tableColumns count="3">
    <tableColumn id="1" xr3:uid="{A6A2F427-3D23-4EB1-A5BA-24917C768CA4}" name="Tipo de FII" dataDxfId="3"/>
    <tableColumn id="2" xr3:uid="{EC0378F5-3B3B-4DDF-80F2-AF09E3D31579}" name="Descrição" dataDxfId="2"/>
    <tableColumn id="3" xr3:uid="{0A07B9F1-17A9-44BD-8210-4F178F5B71D5}" name="Exemplos de Ativo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6439-7C32-4693-BFAC-EB897C8B6F65}">
  <sheetPr>
    <tabColor theme="6" tint="0.59999389629810485"/>
  </sheetPr>
  <dimension ref="A3:G40"/>
  <sheetViews>
    <sheetView showGridLines="0" showRowColHeaders="0" tabSelected="1" zoomScale="61" zoomScaleNormal="61" workbookViewId="0">
      <selection activeCell="E22" sqref="E22"/>
    </sheetView>
  </sheetViews>
  <sheetFormatPr defaultColWidth="0" defaultRowHeight="14.4" x14ac:dyDescent="0.3"/>
  <cols>
    <col min="1" max="1" width="6" customWidth="1"/>
    <col min="2" max="2" width="29.21875" customWidth="1"/>
    <col min="3" max="3" width="26.109375" customWidth="1"/>
    <col min="4" max="4" width="19.5546875" customWidth="1"/>
    <col min="5" max="5" width="5.33203125" customWidth="1"/>
    <col min="6" max="6" width="21.5546875" hidden="1" customWidth="1"/>
    <col min="7" max="7" width="11.6640625" hidden="1" customWidth="1"/>
    <col min="8" max="16384" width="8.88671875" hidden="1"/>
  </cols>
  <sheetData>
    <row r="3" spans="2:4" ht="95.4" customHeight="1" x14ac:dyDescent="0.3"/>
    <row r="6" spans="2:4" ht="14.4" customHeight="1" x14ac:dyDescent="0.3"/>
    <row r="7" spans="2:4" hidden="1" x14ac:dyDescent="0.3"/>
    <row r="8" spans="2:4" ht="15" thickBot="1" x14ac:dyDescent="0.35"/>
    <row r="9" spans="2:4" ht="18.600000000000001" thickBot="1" x14ac:dyDescent="0.35">
      <c r="B9" s="25" t="s">
        <v>19</v>
      </c>
      <c r="C9" s="26"/>
      <c r="D9" s="27"/>
    </row>
    <row r="10" spans="2:4" x14ac:dyDescent="0.3">
      <c r="B10" s="28" t="s">
        <v>11</v>
      </c>
      <c r="C10" s="29"/>
      <c r="D10" s="34">
        <v>6000</v>
      </c>
    </row>
    <row r="11" spans="2:4" x14ac:dyDescent="0.3">
      <c r="B11" s="30" t="s">
        <v>12</v>
      </c>
      <c r="C11" s="31"/>
      <c r="D11" s="35">
        <v>6.0000000000000001E-3</v>
      </c>
    </row>
    <row r="12" spans="2:4" ht="15" thickBot="1" x14ac:dyDescent="0.35">
      <c r="B12" s="32" t="s">
        <v>51</v>
      </c>
      <c r="C12" s="33"/>
      <c r="D12" s="52">
        <f>D10*30%</f>
        <v>1800</v>
      </c>
    </row>
    <row r="13" spans="2:4" ht="15" thickBot="1" x14ac:dyDescent="0.35"/>
    <row r="14" spans="2:4" ht="36.6" customHeight="1" thickBot="1" x14ac:dyDescent="0.35">
      <c r="B14" s="36" t="s">
        <v>20</v>
      </c>
      <c r="C14" s="37"/>
      <c r="D14" s="38"/>
    </row>
    <row r="15" spans="2:4" x14ac:dyDescent="0.3">
      <c r="B15" s="39" t="s">
        <v>0</v>
      </c>
      <c r="C15" s="40"/>
      <c r="D15" s="41">
        <v>600</v>
      </c>
    </row>
    <row r="16" spans="2:4" x14ac:dyDescent="0.3">
      <c r="B16" s="42" t="s">
        <v>1</v>
      </c>
      <c r="C16" s="43"/>
      <c r="D16" s="44">
        <v>5</v>
      </c>
    </row>
    <row r="17" spans="1:4" x14ac:dyDescent="0.3">
      <c r="B17" s="53" t="s">
        <v>2</v>
      </c>
      <c r="C17" s="54"/>
      <c r="D17" s="55">
        <v>1.0789999999999999E-2</v>
      </c>
    </row>
    <row r="18" spans="1:4" x14ac:dyDescent="0.3">
      <c r="B18" s="57" t="s">
        <v>3</v>
      </c>
      <c r="C18" s="56"/>
      <c r="D18" s="58">
        <f>FV(taxa_mensal,qtd_anos*12,aporte*-1)</f>
        <v>50266.148399092584</v>
      </c>
    </row>
    <row r="19" spans="1:4" ht="15" thickBot="1" x14ac:dyDescent="0.35">
      <c r="B19" s="59" t="s">
        <v>4</v>
      </c>
      <c r="C19" s="60"/>
      <c r="D19" s="61">
        <f>D18*1%</f>
        <v>502.66148399092583</v>
      </c>
    </row>
    <row r="20" spans="1:4" ht="15" thickBot="1" x14ac:dyDescent="0.35"/>
    <row r="21" spans="1:4" ht="27.6" thickBot="1" x14ac:dyDescent="0.35">
      <c r="B21" s="36" t="s">
        <v>21</v>
      </c>
      <c r="C21" s="37"/>
      <c r="D21" s="45" t="s">
        <v>10</v>
      </c>
    </row>
    <row r="22" spans="1:4" x14ac:dyDescent="0.3">
      <c r="A22" s="2">
        <v>2</v>
      </c>
      <c r="B22" s="46" t="s">
        <v>5</v>
      </c>
      <c r="C22" s="3">
        <f>FV($D$17,$A22*12,$D$15*-1)</f>
        <v>16336.57637858713</v>
      </c>
      <c r="D22" s="47">
        <f>C22*$D$11</f>
        <v>98.01945827152278</v>
      </c>
    </row>
    <row r="23" spans="1:4" x14ac:dyDescent="0.3">
      <c r="A23" s="2">
        <v>5</v>
      </c>
      <c r="B23" s="48" t="s">
        <v>6</v>
      </c>
      <c r="C23" s="4">
        <f>FV($D$17,$A23*12,$D$15*-1)</f>
        <v>50266.148399092584</v>
      </c>
      <c r="D23" s="47">
        <f>C23*$D$11</f>
        <v>301.59689039455549</v>
      </c>
    </row>
    <row r="24" spans="1:4" x14ac:dyDescent="0.3">
      <c r="A24" s="2">
        <v>10</v>
      </c>
      <c r="B24" s="48" t="s">
        <v>7</v>
      </c>
      <c r="C24" s="4">
        <f>FV($D$17,$A24*12,$D$15*-1)</f>
        <v>145970.52751810331</v>
      </c>
      <c r="D24" s="47">
        <f>C24*$D$11</f>
        <v>875.82316510861983</v>
      </c>
    </row>
    <row r="25" spans="1:4" x14ac:dyDescent="0.3">
      <c r="A25" s="2">
        <v>20</v>
      </c>
      <c r="B25" s="48" t="s">
        <v>8</v>
      </c>
      <c r="C25" s="4">
        <f>FV($D$17,$A25*12,$D$15*-1)</f>
        <v>675119.04005824833</v>
      </c>
      <c r="D25" s="47">
        <f>C25*$D$11</f>
        <v>4050.71424034949</v>
      </c>
    </row>
    <row r="26" spans="1:4" ht="15" thickBot="1" x14ac:dyDescent="0.35">
      <c r="A26" s="2">
        <v>30</v>
      </c>
      <c r="B26" s="49" t="s">
        <v>9</v>
      </c>
      <c r="C26" s="50">
        <f>FV($D$17,$A26*12,$D$15*-1)</f>
        <v>2593301.7930028285</v>
      </c>
      <c r="D26" s="51">
        <f>C26*$D$11</f>
        <v>15559.810758016971</v>
      </c>
    </row>
    <row r="30" spans="1:4" x14ac:dyDescent="0.3">
      <c r="B30" s="62" t="s">
        <v>17</v>
      </c>
      <c r="C30" s="63"/>
      <c r="D30" s="63" t="s">
        <v>18</v>
      </c>
    </row>
    <row r="31" spans="1:4" x14ac:dyDescent="0.3">
      <c r="B31" s="6" t="s">
        <v>28</v>
      </c>
      <c r="C31" s="7"/>
      <c r="D31" s="8">
        <f>aporte</f>
        <v>600</v>
      </c>
    </row>
    <row r="33" spans="2:4" x14ac:dyDescent="0.3">
      <c r="B33" s="9" t="s">
        <v>14</v>
      </c>
      <c r="C33" s="10" t="s">
        <v>16</v>
      </c>
      <c r="D33" s="10" t="s">
        <v>15</v>
      </c>
    </row>
    <row r="34" spans="2:4" x14ac:dyDescent="0.3">
      <c r="B34" s="1" t="s">
        <v>22</v>
      </c>
      <c r="C34" s="5">
        <f>VLOOKUP($D$30&amp;"-"&amp;B34,'Tabela de apoio'!$B:$E,4,FALSE)</f>
        <v>0.3</v>
      </c>
      <c r="D34" s="16">
        <f>C34*$D$31</f>
        <v>180</v>
      </c>
    </row>
    <row r="35" spans="2:4" x14ac:dyDescent="0.3">
      <c r="B35" s="1" t="s">
        <v>23</v>
      </c>
      <c r="C35" s="5">
        <f>VLOOKUP($D$30&amp;"-"&amp;B35,'Tabela de apoio'!$B:$E,4,FALSE)</f>
        <v>0.5</v>
      </c>
      <c r="D35" s="16">
        <f t="shared" ref="D35:D39" si="0">C35*$D$31</f>
        <v>300</v>
      </c>
    </row>
    <row r="36" spans="2:4" x14ac:dyDescent="0.3">
      <c r="B36" s="1" t="s">
        <v>24</v>
      </c>
      <c r="C36" s="5">
        <f>VLOOKUP($D$30&amp;"-"&amp;B36,'Tabela de apoio'!$B:$E,4,FALSE)</f>
        <v>0.1</v>
      </c>
      <c r="D36" s="16">
        <f t="shared" si="0"/>
        <v>60</v>
      </c>
    </row>
    <row r="37" spans="2:4" x14ac:dyDescent="0.3">
      <c r="B37" s="1" t="s">
        <v>25</v>
      </c>
      <c r="C37" s="5">
        <f>VLOOKUP($D$30&amp;"-"&amp;B37,'Tabela de apoio'!$B:$E,4,FALSE)</f>
        <v>0.1</v>
      </c>
      <c r="D37" s="16">
        <f t="shared" si="0"/>
        <v>60</v>
      </c>
    </row>
    <row r="38" spans="2:4" x14ac:dyDescent="0.3">
      <c r="B38" s="1" t="s">
        <v>26</v>
      </c>
      <c r="C38" s="5">
        <f>VLOOKUP($D$30&amp;"-"&amp;B38,'Tabela de apoio'!$B:$E,4,FALSE)</f>
        <v>0</v>
      </c>
      <c r="D38" s="16">
        <f t="shared" si="0"/>
        <v>0</v>
      </c>
    </row>
    <row r="39" spans="2:4" x14ac:dyDescent="0.3">
      <c r="B39" s="1" t="s">
        <v>27</v>
      </c>
      <c r="C39" s="5">
        <f>VLOOKUP($D$30&amp;"-"&amp;B39,'Tabela de apoio'!$B:$E,4,FALSE)</f>
        <v>0</v>
      </c>
      <c r="D39" s="16">
        <f t="shared" si="0"/>
        <v>0</v>
      </c>
    </row>
    <row r="40" spans="2:4" x14ac:dyDescent="0.3">
      <c r="B40" s="11"/>
      <c r="C40" s="11"/>
      <c r="D40" s="12">
        <f>SUM(D34:D39)</f>
        <v>600</v>
      </c>
    </row>
  </sheetData>
  <mergeCells count="11">
    <mergeCell ref="B21:C21"/>
    <mergeCell ref="B10:C10"/>
    <mergeCell ref="B11:C11"/>
    <mergeCell ref="B12:C12"/>
    <mergeCell ref="B9:D9"/>
    <mergeCell ref="B14:D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D30" xr:uid="{84EC5671-37A1-4114-9C32-1F2CAE800EE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4B12-A352-4691-92FC-2BB2CA8D6F04}">
  <sheetPr>
    <tabColor theme="6" tint="-0.249977111117893"/>
  </sheetPr>
  <dimension ref="A5:XFD27"/>
  <sheetViews>
    <sheetView showGridLines="0" topLeftCell="A6" workbookViewId="0">
      <selection activeCell="A5" sqref="A5:XFD5"/>
    </sheetView>
  </sheetViews>
  <sheetFormatPr defaultColWidth="8.88671875" defaultRowHeight="14.4" x14ac:dyDescent="0.3"/>
  <cols>
    <col min="1" max="1" width="1.5546875" customWidth="1"/>
    <col min="2" max="2" width="31.5546875" bestFit="1" customWidth="1"/>
    <col min="3" max="3" width="15.109375" customWidth="1"/>
    <col min="4" max="4" width="18.77734375" customWidth="1"/>
    <col min="5" max="5" width="17.21875" bestFit="1" customWidth="1"/>
    <col min="6" max="6" width="1.44140625" customWidth="1"/>
    <col min="7" max="16382" width="0" hidden="1" customWidth="1"/>
    <col min="16383" max="16383" width="1.44140625" customWidth="1"/>
    <col min="16384" max="16384" width="0.77734375" customWidth="1"/>
  </cols>
  <sheetData>
    <row r="5" spans="1:5" s="21" customFormat="1" ht="23.4" x14ac:dyDescent="0.3">
      <c r="A5" s="21" t="s">
        <v>50</v>
      </c>
    </row>
    <row r="7" spans="1:5" s="23" customFormat="1" x14ac:dyDescent="0.3">
      <c r="B7" s="23" t="s">
        <v>48</v>
      </c>
      <c r="C7" s="23" t="s">
        <v>13</v>
      </c>
      <c r="D7" s="24" t="s">
        <v>14</v>
      </c>
      <c r="E7" s="22" t="s">
        <v>16</v>
      </c>
    </row>
    <row r="8" spans="1:5" x14ac:dyDescent="0.3">
      <c r="B8" t="str">
        <f>$C$8&amp;"-"&amp;D8</f>
        <v>CONSERVADOR-PAPEL</v>
      </c>
      <c r="C8" t="s">
        <v>18</v>
      </c>
      <c r="D8" s="1" t="s">
        <v>22</v>
      </c>
      <c r="E8" s="5">
        <v>0.3</v>
      </c>
    </row>
    <row r="9" spans="1:5" x14ac:dyDescent="0.3">
      <c r="B9" t="str">
        <f>$C$8&amp;"-"&amp;D9</f>
        <v>CONSERVADOR-TIJOLO</v>
      </c>
      <c r="C9" t="s">
        <v>18</v>
      </c>
      <c r="D9" s="1" t="s">
        <v>23</v>
      </c>
      <c r="E9" s="5">
        <v>0.5</v>
      </c>
    </row>
    <row r="10" spans="1:5" x14ac:dyDescent="0.3">
      <c r="B10" t="str">
        <f>$C$8&amp;"-"&amp;D10</f>
        <v>CONSERVADOR-HÍBRIDOS</v>
      </c>
      <c r="C10" t="s">
        <v>18</v>
      </c>
      <c r="D10" s="1" t="s">
        <v>24</v>
      </c>
      <c r="E10" s="5">
        <v>0.1</v>
      </c>
    </row>
    <row r="11" spans="1:5" x14ac:dyDescent="0.3">
      <c r="B11" t="str">
        <f>$C$8&amp;"-"&amp;D11</f>
        <v>CONSERVADOR-FOFs</v>
      </c>
      <c r="C11" t="s">
        <v>18</v>
      </c>
      <c r="D11" s="1" t="s">
        <v>25</v>
      </c>
      <c r="E11" s="5">
        <v>0.1</v>
      </c>
    </row>
    <row r="12" spans="1:5" x14ac:dyDescent="0.3">
      <c r="B12" t="str">
        <f>$C$8&amp;"-"&amp;D12</f>
        <v>CONSERVADOR-DESENVOLVIMENTO</v>
      </c>
      <c r="C12" t="s">
        <v>18</v>
      </c>
      <c r="D12" s="1" t="s">
        <v>26</v>
      </c>
      <c r="E12" s="5">
        <v>0</v>
      </c>
    </row>
    <row r="13" spans="1:5" x14ac:dyDescent="0.3">
      <c r="B13" t="str">
        <f>$C$8&amp;"-"&amp;D13</f>
        <v>CONSERVADOR-HOTELARIAS</v>
      </c>
      <c r="C13" t="s">
        <v>18</v>
      </c>
      <c r="D13" s="1" t="s">
        <v>27</v>
      </c>
      <c r="E13" s="5">
        <v>0</v>
      </c>
    </row>
    <row r="14" spans="1:5" s="17" customFormat="1" ht="4.8" customHeight="1" x14ac:dyDescent="0.3">
      <c r="D14" s="18"/>
      <c r="E14" s="19"/>
    </row>
    <row r="15" spans="1:5" x14ac:dyDescent="0.3">
      <c r="B15" t="str">
        <f>$C$15&amp;"-"&amp;D15</f>
        <v>MODERADO-PAPEL</v>
      </c>
      <c r="C15" t="s">
        <v>29</v>
      </c>
      <c r="D15" s="1" t="s">
        <v>22</v>
      </c>
      <c r="E15" s="5">
        <v>0.32</v>
      </c>
    </row>
    <row r="16" spans="1:5" x14ac:dyDescent="0.3">
      <c r="B16" t="str">
        <f t="shared" ref="B16:B20" si="0">$C$15&amp;"-"&amp;D16</f>
        <v>MODERADO-TIJOLO</v>
      </c>
      <c r="C16" t="s">
        <v>29</v>
      </c>
      <c r="D16" s="1" t="s">
        <v>23</v>
      </c>
      <c r="E16" s="5">
        <v>0.35</v>
      </c>
    </row>
    <row r="17" spans="2:5" x14ac:dyDescent="0.3">
      <c r="B17" t="str">
        <f t="shared" si="0"/>
        <v>MODERADO-HÍBRIDOS</v>
      </c>
      <c r="C17" t="s">
        <v>29</v>
      </c>
      <c r="D17" s="1" t="s">
        <v>24</v>
      </c>
      <c r="E17" s="5">
        <v>0.08</v>
      </c>
    </row>
    <row r="18" spans="2:5" x14ac:dyDescent="0.3">
      <c r="B18" t="str">
        <f t="shared" si="0"/>
        <v>MODERADO-FOFs</v>
      </c>
      <c r="C18" t="s">
        <v>29</v>
      </c>
      <c r="D18" s="1" t="s">
        <v>25</v>
      </c>
      <c r="E18" s="5">
        <v>0.05</v>
      </c>
    </row>
    <row r="19" spans="2:5" x14ac:dyDescent="0.3">
      <c r="B19" t="str">
        <f t="shared" si="0"/>
        <v>MODERADO-DESENVOLVIMENTO</v>
      </c>
      <c r="C19" t="s">
        <v>29</v>
      </c>
      <c r="D19" s="1" t="s">
        <v>26</v>
      </c>
      <c r="E19" s="5">
        <v>0.1</v>
      </c>
    </row>
    <row r="20" spans="2:5" x14ac:dyDescent="0.3">
      <c r="B20" t="str">
        <f t="shared" si="0"/>
        <v>MODERADO-HOTELARIAS</v>
      </c>
      <c r="C20" t="s">
        <v>29</v>
      </c>
      <c r="D20" s="1" t="s">
        <v>27</v>
      </c>
      <c r="E20" s="5">
        <v>0.1</v>
      </c>
    </row>
    <row r="21" spans="2:5" s="17" customFormat="1" ht="5.4" customHeight="1" x14ac:dyDescent="0.3">
      <c r="D21" s="18"/>
    </row>
    <row r="22" spans="2:5" x14ac:dyDescent="0.3">
      <c r="B22" t="str">
        <f>$C$22&amp;"-"&amp;D22</f>
        <v>AGRESSIVO-PAPEL</v>
      </c>
      <c r="C22" t="s">
        <v>30</v>
      </c>
      <c r="D22" s="1" t="s">
        <v>22</v>
      </c>
      <c r="E22" s="5">
        <v>0.5</v>
      </c>
    </row>
    <row r="23" spans="2:5" x14ac:dyDescent="0.3">
      <c r="B23" t="str">
        <f t="shared" ref="B23:B27" si="1">$C$22&amp;"-"&amp;D23</f>
        <v>AGRESSIVO-TIJOLO</v>
      </c>
      <c r="C23" t="s">
        <v>30</v>
      </c>
      <c r="D23" s="1" t="s">
        <v>23</v>
      </c>
      <c r="E23" s="5">
        <v>0.1</v>
      </c>
    </row>
    <row r="24" spans="2:5" x14ac:dyDescent="0.3">
      <c r="B24" t="str">
        <f t="shared" si="1"/>
        <v>AGRESSIVO-HÍBRIDOS</v>
      </c>
      <c r="C24" t="s">
        <v>30</v>
      </c>
      <c r="D24" s="1" t="s">
        <v>24</v>
      </c>
      <c r="E24" s="5">
        <v>0.05</v>
      </c>
    </row>
    <row r="25" spans="2:5" x14ac:dyDescent="0.3">
      <c r="B25" t="str">
        <f t="shared" si="1"/>
        <v>AGRESSIVO-FOFs</v>
      </c>
      <c r="C25" t="s">
        <v>30</v>
      </c>
      <c r="D25" s="1" t="s">
        <v>25</v>
      </c>
      <c r="E25" s="5">
        <v>0.05</v>
      </c>
    </row>
    <row r="26" spans="2:5" x14ac:dyDescent="0.3">
      <c r="B26" t="str">
        <f t="shared" si="1"/>
        <v>AGRESSIVO-DESENVOLVIMENTO</v>
      </c>
      <c r="C26" t="s">
        <v>30</v>
      </c>
      <c r="D26" s="1" t="s">
        <v>26</v>
      </c>
      <c r="E26" s="5">
        <v>0.2</v>
      </c>
    </row>
    <row r="27" spans="2:5" x14ac:dyDescent="0.3">
      <c r="B27" t="str">
        <f t="shared" si="1"/>
        <v>AGRESSIVO-HOTELARIAS</v>
      </c>
      <c r="C27" t="s">
        <v>30</v>
      </c>
      <c r="D27" s="1" t="s">
        <v>27</v>
      </c>
      <c r="E27" s="5">
        <v>0.1</v>
      </c>
    </row>
  </sheetData>
  <mergeCells count="1">
    <mergeCell ref="A5:XF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3F35-C95B-4CE9-BB9A-86B6C67126A7}">
  <sheetPr>
    <tabColor theme="6" tint="-0.249977111117893"/>
  </sheetPr>
  <dimension ref="A2:C8"/>
  <sheetViews>
    <sheetView workbookViewId="0">
      <selection activeCell="C13" sqref="C13"/>
    </sheetView>
  </sheetViews>
  <sheetFormatPr defaultRowHeight="14.4" x14ac:dyDescent="0.3"/>
  <cols>
    <col min="1" max="1" width="13.88671875" bestFit="1" customWidth="1"/>
    <col min="2" max="2" width="28.109375" bestFit="1" customWidth="1"/>
    <col min="3" max="3" width="38.21875" bestFit="1" customWidth="1"/>
  </cols>
  <sheetData>
    <row r="2" spans="1:3" ht="36" customHeight="1" x14ac:dyDescent="0.3">
      <c r="A2" s="20" t="s">
        <v>49</v>
      </c>
      <c r="B2" s="20"/>
      <c r="C2" s="20"/>
    </row>
    <row r="3" spans="1:3" x14ac:dyDescent="0.3">
      <c r="A3" s="13" t="s">
        <v>14</v>
      </c>
      <c r="B3" s="13" t="s">
        <v>31</v>
      </c>
      <c r="C3" s="13" t="s">
        <v>32</v>
      </c>
    </row>
    <row r="4" spans="1:3" ht="43.2" x14ac:dyDescent="0.3">
      <c r="A4" s="15" t="s">
        <v>33</v>
      </c>
      <c r="B4" s="14" t="s">
        <v>34</v>
      </c>
      <c r="C4" s="14" t="s">
        <v>35</v>
      </c>
    </row>
    <row r="5" spans="1:3" ht="43.2" x14ac:dyDescent="0.3">
      <c r="A5" s="15" t="s">
        <v>36</v>
      </c>
      <c r="B5" s="14" t="s">
        <v>37</v>
      </c>
      <c r="C5" s="14" t="s">
        <v>38</v>
      </c>
    </row>
    <row r="6" spans="1:3" ht="43.2" x14ac:dyDescent="0.3">
      <c r="A6" s="15" t="s">
        <v>39</v>
      </c>
      <c r="B6" s="14" t="s">
        <v>40</v>
      </c>
      <c r="C6" s="14" t="s">
        <v>41</v>
      </c>
    </row>
    <row r="7" spans="1:3" ht="43.2" x14ac:dyDescent="0.3">
      <c r="A7" s="15" t="s">
        <v>42</v>
      </c>
      <c r="B7" s="14" t="s">
        <v>43</v>
      </c>
      <c r="C7" s="14" t="s">
        <v>44</v>
      </c>
    </row>
    <row r="8" spans="1:3" ht="43.2" x14ac:dyDescent="0.3">
      <c r="A8" s="15" t="s">
        <v>45</v>
      </c>
      <c r="B8" s="14" t="s">
        <v>46</v>
      </c>
      <c r="C8" s="14" t="s">
        <v>47</v>
      </c>
    </row>
  </sheetData>
  <mergeCells count="1">
    <mergeCell ref="A2:C2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5</vt:i4>
      </vt:variant>
    </vt:vector>
  </HeadingPairs>
  <TitlesOfParts>
    <vt:vector size="8" baseType="lpstr">
      <vt:lpstr>Controle de Investimentos</vt:lpstr>
      <vt:lpstr>Tabela de apoio</vt:lpstr>
      <vt:lpstr>Descrição</vt:lpstr>
      <vt:lpstr>aporte</vt:lpstr>
      <vt:lpstr>qtd_anos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Josiane de Oliveira da Silva</dc:creator>
  <cp:lastModifiedBy>Josiane de Oliveira da Silva</cp:lastModifiedBy>
  <cp:lastPrinted>2026-01-14T14:20:28Z</cp:lastPrinted>
  <dcterms:created xsi:type="dcterms:W3CDTF">2026-01-07T13:01:07Z</dcterms:created>
  <dcterms:modified xsi:type="dcterms:W3CDTF">2026-01-14T14:22:14Z</dcterms:modified>
</cp:coreProperties>
</file>